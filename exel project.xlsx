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D5FDED5A-9B75-4BDE-80BC-8F9996FCF405}" xr6:coauthVersionLast="47" xr6:coauthVersionMax="47" xr10:uidLastSave="{00000000-0000-0000-0000-000000000000}"/>
  <bookViews>
    <workbookView showSheetTabs="0" xWindow="-120" yWindow="-120" windowWidth="20730" windowHeight="11160" activeTab="1" xr2:uid="{00000000-000D-0000-FFFF-FFFF00000000}"/>
  </bookViews>
  <sheets>
    <sheet name="Top5Customers" sheetId="22" r:id="rId1"/>
    <sheet name="Dashboard" sheetId="23" r:id="rId2"/>
    <sheet name="Country Bar Chart" sheetId="21" r:id="rId3"/>
    <sheet name="Total Sale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1001" i="17"/>
  <c r="N15" i="17"/>
  <c r="N17" i="17"/>
  <c r="N31" i="17"/>
  <c r="N33" i="17"/>
  <c r="N47" i="17"/>
  <c r="N49" i="17"/>
  <c r="N63" i="17"/>
  <c r="N65" i="17"/>
  <c r="N79" i="17"/>
  <c r="N81" i="17"/>
  <c r="N95" i="17"/>
  <c r="N97" i="17"/>
  <c r="N111" i="17"/>
  <c r="N113" i="17"/>
  <c r="N122" i="17"/>
  <c r="N123" i="17"/>
  <c r="N133" i="17"/>
  <c r="N134" i="17"/>
  <c r="N143" i="17"/>
  <c r="N145" i="17"/>
  <c r="N154" i="17"/>
  <c r="N155" i="17"/>
  <c r="N165" i="17"/>
  <c r="N166" i="17"/>
  <c r="N175" i="17"/>
  <c r="N177" i="17"/>
  <c r="N186" i="17"/>
  <c r="N187" i="17"/>
  <c r="N197" i="17"/>
  <c r="N198" i="17"/>
  <c r="N207" i="17"/>
  <c r="N209" i="17"/>
  <c r="N218" i="17"/>
  <c r="N219" i="17"/>
  <c r="N229" i="17"/>
  <c r="N230" i="17"/>
  <c r="N239" i="17"/>
  <c r="N241" i="17"/>
  <c r="N250" i="17"/>
  <c r="N251" i="17"/>
  <c r="N261" i="17"/>
  <c r="N262" i="17"/>
  <c r="N270" i="17"/>
  <c r="N271" i="17"/>
  <c r="N278" i="17"/>
  <c r="N279" i="17"/>
  <c r="N286" i="17"/>
  <c r="N287" i="17"/>
  <c r="N294" i="17"/>
  <c r="N295" i="17"/>
  <c r="N302" i="17"/>
  <c r="N303" i="17"/>
  <c r="N310" i="17"/>
  <c r="N311" i="17"/>
  <c r="N318" i="17"/>
  <c r="N319" i="17"/>
  <c r="N326" i="17"/>
  <c r="N327" i="17"/>
  <c r="N335" i="17"/>
  <c r="N343" i="17"/>
  <c r="N351" i="17"/>
  <c r="N367" i="17"/>
  <c r="N399" i="17"/>
  <c r="N431" i="17"/>
  <c r="N463" i="17"/>
  <c r="N495" i="17"/>
  <c r="N527" i="17"/>
  <c r="N559" i="17"/>
  <c r="N591" i="17"/>
  <c r="N623" i="17"/>
  <c r="N655" i="17"/>
  <c r="N687" i="17"/>
  <c r="N719" i="17"/>
  <c r="N751" i="17"/>
  <c r="N783" i="17"/>
  <c r="N815" i="17"/>
  <c r="N847" i="17"/>
  <c r="N879" i="17"/>
  <c r="N911" i="17"/>
  <c r="N943" i="17"/>
  <c r="N975" i="17"/>
  <c r="M6" i="17"/>
  <c r="M7" i="17"/>
  <c r="M14" i="17"/>
  <c r="M15" i="17"/>
  <c r="M22" i="17"/>
  <c r="M23" i="17"/>
  <c r="M30" i="17"/>
  <c r="M31" i="17"/>
  <c r="M38" i="17"/>
  <c r="M39" i="17"/>
  <c r="M46" i="17"/>
  <c r="M47" i="17"/>
  <c r="M54" i="17"/>
  <c r="M55" i="17"/>
  <c r="M62" i="17"/>
  <c r="M63" i="17"/>
  <c r="M70" i="17"/>
  <c r="M71" i="17"/>
  <c r="M78" i="17"/>
  <c r="M79" i="17"/>
  <c r="M86" i="17"/>
  <c r="M87" i="17"/>
  <c r="M94" i="17"/>
  <c r="M95" i="17"/>
  <c r="M102" i="17"/>
  <c r="M103" i="17"/>
  <c r="M110" i="17"/>
  <c r="M111" i="17"/>
  <c r="M118" i="17"/>
  <c r="M119" i="17"/>
  <c r="M126" i="17"/>
  <c r="M127" i="17"/>
  <c r="M134" i="17"/>
  <c r="M135" i="17"/>
  <c r="M142" i="17"/>
  <c r="M143" i="17"/>
  <c r="M150" i="17"/>
  <c r="M151" i="17"/>
  <c r="M158" i="17"/>
  <c r="M159" i="17"/>
  <c r="M166" i="17"/>
  <c r="M167" i="17"/>
  <c r="M174" i="17"/>
  <c r="M175" i="17"/>
  <c r="M182" i="17"/>
  <c r="M183" i="17"/>
  <c r="M190" i="17"/>
  <c r="M191" i="17"/>
  <c r="M198" i="17"/>
  <c r="M199" i="17"/>
  <c r="M206" i="17"/>
  <c r="M207" i="17"/>
  <c r="M214" i="17"/>
  <c r="M215" i="17"/>
  <c r="M222" i="17"/>
  <c r="M223" i="17"/>
  <c r="M230" i="17"/>
  <c r="M231" i="17"/>
  <c r="M238" i="17"/>
  <c r="M239" i="17"/>
  <c r="M246" i="17"/>
  <c r="M247" i="17"/>
  <c r="M254" i="17"/>
  <c r="M255" i="17"/>
  <c r="M262" i="17"/>
  <c r="M263" i="17"/>
  <c r="M270" i="17"/>
  <c r="M271" i="17"/>
  <c r="M278" i="17"/>
  <c r="M279" i="17"/>
  <c r="M286" i="17"/>
  <c r="M287" i="17"/>
  <c r="M294" i="17"/>
  <c r="M295" i="17"/>
  <c r="M302" i="17"/>
  <c r="M303" i="17"/>
  <c r="M310" i="17"/>
  <c r="M311" i="17"/>
  <c r="M318" i="17"/>
  <c r="M319" i="17"/>
  <c r="M326" i="17"/>
  <c r="M327" i="17"/>
  <c r="M334" i="17"/>
  <c r="M335" i="17"/>
  <c r="M342" i="17"/>
  <c r="M343" i="17"/>
  <c r="M350" i="17"/>
  <c r="M351" i="17"/>
  <c r="M356" i="17"/>
  <c r="M357" i="17"/>
  <c r="M360" i="17"/>
  <c r="M361" i="17"/>
  <c r="M364" i="17"/>
  <c r="M365" i="17"/>
  <c r="M368" i="17"/>
  <c r="M369" i="17"/>
  <c r="M372" i="17"/>
  <c r="M373" i="17"/>
  <c r="M376" i="17"/>
  <c r="M377" i="17"/>
  <c r="M380" i="17"/>
  <c r="M381" i="17"/>
  <c r="M384" i="17"/>
  <c r="M385" i="17"/>
  <c r="M389" i="17"/>
  <c r="M393" i="17"/>
  <c r="M405" i="17"/>
  <c r="M421" i="17"/>
  <c r="M437" i="17"/>
  <c r="M453" i="17"/>
  <c r="M469" i="17"/>
  <c r="M485" i="17"/>
  <c r="M501" i="17"/>
  <c r="M517" i="17"/>
  <c r="M533" i="17"/>
  <c r="M549" i="17"/>
  <c r="M565" i="17"/>
  <c r="M581" i="17"/>
  <c r="M597" i="17"/>
  <c r="M613" i="17"/>
  <c r="M629" i="17"/>
  <c r="M645" i="17"/>
  <c r="M661" i="17"/>
  <c r="M677" i="17"/>
  <c r="M685" i="17"/>
  <c r="M693" i="17"/>
  <c r="M701" i="17"/>
  <c r="M709" i="17"/>
  <c r="M717" i="17"/>
  <c r="M725" i="17"/>
  <c r="M733" i="17"/>
  <c r="M741" i="17"/>
  <c r="M749" i="17"/>
  <c r="M757" i="17"/>
  <c r="M765" i="17"/>
  <c r="M773" i="17"/>
  <c r="M781" i="17"/>
  <c r="M789" i="17"/>
  <c r="M797" i="17"/>
  <c r="M805" i="17"/>
  <c r="M813" i="17"/>
  <c r="M821" i="17"/>
  <c r="M829" i="17"/>
  <c r="M837" i="17"/>
  <c r="M845" i="17"/>
  <c r="M853" i="17"/>
  <c r="M861" i="17"/>
  <c r="M869" i="17"/>
  <c r="M877" i="17"/>
  <c r="M885" i="17"/>
  <c r="M893" i="17"/>
  <c r="M901" i="17"/>
  <c r="M909" i="17"/>
  <c r="M917" i="17"/>
  <c r="M925" i="17"/>
  <c r="M933" i="17"/>
  <c r="M941" i="17"/>
  <c r="M949" i="17"/>
  <c r="M957" i="17"/>
  <c r="M965" i="17"/>
  <c r="M973" i="17"/>
  <c r="M981" i="17"/>
  <c r="M989" i="17"/>
  <c r="M99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I7" i="17"/>
  <c r="N7" i="17" s="1"/>
  <c r="J7" i="17"/>
  <c r="O7" i="17" s="1"/>
  <c r="K7" i="17"/>
  <c r="L7" i="17"/>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I15" i="17"/>
  <c r="J15" i="17"/>
  <c r="O15" i="17" s="1"/>
  <c r="K15" i="17"/>
  <c r="L15" i="17"/>
  <c r="I16" i="17"/>
  <c r="N16" i="17" s="1"/>
  <c r="J16" i="17"/>
  <c r="O16" i="17" s="1"/>
  <c r="K16" i="17"/>
  <c r="L16" i="17"/>
  <c r="M16" i="17" s="1"/>
  <c r="I17" i="17"/>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J31" i="17"/>
  <c r="O31" i="17" s="1"/>
  <c r="K31" i="17"/>
  <c r="L31" i="17"/>
  <c r="I32" i="17"/>
  <c r="N32" i="17" s="1"/>
  <c r="J32" i="17"/>
  <c r="O32" i="17" s="1"/>
  <c r="K32" i="17"/>
  <c r="L32" i="17"/>
  <c r="M32" i="17" s="1"/>
  <c r="I33" i="17"/>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I39" i="17"/>
  <c r="N39" i="17" s="1"/>
  <c r="J39" i="17"/>
  <c r="O39" i="17" s="1"/>
  <c r="K39" i="17"/>
  <c r="L39" i="17"/>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I47" i="17"/>
  <c r="J47" i="17"/>
  <c r="O47" i="17" s="1"/>
  <c r="K47" i="17"/>
  <c r="L47" i="17"/>
  <c r="I48" i="17"/>
  <c r="N48" i="17" s="1"/>
  <c r="J48" i="17"/>
  <c r="O48" i="17" s="1"/>
  <c r="K48" i="17"/>
  <c r="L48" i="17"/>
  <c r="M48" i="17" s="1"/>
  <c r="I49" i="17"/>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I55" i="17"/>
  <c r="N55" i="17" s="1"/>
  <c r="J55" i="17"/>
  <c r="O55" i="17" s="1"/>
  <c r="K55" i="17"/>
  <c r="L55" i="17"/>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I63" i="17"/>
  <c r="J63" i="17"/>
  <c r="O63" i="17" s="1"/>
  <c r="K63" i="17"/>
  <c r="L63" i="17"/>
  <c r="I64" i="17"/>
  <c r="N64" i="17" s="1"/>
  <c r="J64" i="17"/>
  <c r="O64" i="17" s="1"/>
  <c r="K64" i="17"/>
  <c r="L64" i="17"/>
  <c r="M64" i="17" s="1"/>
  <c r="I65" i="17"/>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I71" i="17"/>
  <c r="N71" i="17" s="1"/>
  <c r="J71" i="17"/>
  <c r="O71" i="17" s="1"/>
  <c r="K71" i="17"/>
  <c r="L71" i="17"/>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I79" i="17"/>
  <c r="J79" i="17"/>
  <c r="O79" i="17" s="1"/>
  <c r="K79" i="17"/>
  <c r="L79" i="17"/>
  <c r="I80" i="17"/>
  <c r="N80" i="17" s="1"/>
  <c r="J80" i="17"/>
  <c r="O80" i="17" s="1"/>
  <c r="K80" i="17"/>
  <c r="L80" i="17"/>
  <c r="M80" i="17" s="1"/>
  <c r="I81" i="17"/>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I87" i="17"/>
  <c r="N87" i="17" s="1"/>
  <c r="J87" i="17"/>
  <c r="O87" i="17" s="1"/>
  <c r="K87" i="17"/>
  <c r="L87" i="17"/>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I95" i="17"/>
  <c r="J95" i="17"/>
  <c r="O95" i="17" s="1"/>
  <c r="K95" i="17"/>
  <c r="L95" i="17"/>
  <c r="I96" i="17"/>
  <c r="N96" i="17" s="1"/>
  <c r="J96" i="17"/>
  <c r="O96" i="17" s="1"/>
  <c r="K96" i="17"/>
  <c r="L96" i="17"/>
  <c r="M96" i="17" s="1"/>
  <c r="I97" i="17"/>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I103" i="17"/>
  <c r="N103" i="17" s="1"/>
  <c r="J103" i="17"/>
  <c r="O103" i="17" s="1"/>
  <c r="K103" i="17"/>
  <c r="L103" i="17"/>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I111" i="17"/>
  <c r="J111" i="17"/>
  <c r="O111" i="17" s="1"/>
  <c r="K111" i="17"/>
  <c r="L111" i="17"/>
  <c r="I112" i="17"/>
  <c r="N112" i="17" s="1"/>
  <c r="J112" i="17"/>
  <c r="O112" i="17" s="1"/>
  <c r="K112" i="17"/>
  <c r="L112" i="17"/>
  <c r="M112" i="17" s="1"/>
  <c r="I113" i="17"/>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I119" i="17"/>
  <c r="N119" i="17" s="1"/>
  <c r="J119" i="17"/>
  <c r="O119" i="17" s="1"/>
  <c r="K119" i="17"/>
  <c r="L119" i="17"/>
  <c r="I120" i="17"/>
  <c r="N120" i="17" s="1"/>
  <c r="J120" i="17"/>
  <c r="O120" i="17" s="1"/>
  <c r="K120" i="17"/>
  <c r="L120" i="17"/>
  <c r="M120" i="17" s="1"/>
  <c r="I121" i="17"/>
  <c r="N121" i="17" s="1"/>
  <c r="J121" i="17"/>
  <c r="O121" i="17" s="1"/>
  <c r="K121" i="17"/>
  <c r="L121" i="17"/>
  <c r="M121" i="17" s="1"/>
  <c r="I122" i="17"/>
  <c r="J122" i="17"/>
  <c r="O122" i="17" s="1"/>
  <c r="K122" i="17"/>
  <c r="L122" i="17"/>
  <c r="M122" i="17" s="1"/>
  <c r="I123" i="17"/>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I127" i="17"/>
  <c r="N127" i="17" s="1"/>
  <c r="J127" i="17"/>
  <c r="O127" i="17" s="1"/>
  <c r="K127" i="17"/>
  <c r="L127" i="17"/>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J133" i="17"/>
  <c r="O133" i="17" s="1"/>
  <c r="K133" i="17"/>
  <c r="L133" i="17"/>
  <c r="M133" i="17" s="1"/>
  <c r="I134" i="17"/>
  <c r="J134" i="17"/>
  <c r="O134" i="17" s="1"/>
  <c r="K134" i="17"/>
  <c r="L134" i="17"/>
  <c r="I135" i="17"/>
  <c r="N135" i="17" s="1"/>
  <c r="J135" i="17"/>
  <c r="O135" i="17" s="1"/>
  <c r="K135" i="17"/>
  <c r="L135" i="17"/>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I143" i="17"/>
  <c r="J143" i="17"/>
  <c r="O143" i="17" s="1"/>
  <c r="K143" i="17"/>
  <c r="L143" i="17"/>
  <c r="I144" i="17"/>
  <c r="N144" i="17" s="1"/>
  <c r="J144" i="17"/>
  <c r="O144" i="17" s="1"/>
  <c r="K144" i="17"/>
  <c r="L144" i="17"/>
  <c r="M144" i="17" s="1"/>
  <c r="I145" i="17"/>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I151" i="17"/>
  <c r="N151" i="17" s="1"/>
  <c r="J151" i="17"/>
  <c r="O151" i="17" s="1"/>
  <c r="K151" i="17"/>
  <c r="L151" i="17"/>
  <c r="I152" i="17"/>
  <c r="N152" i="17" s="1"/>
  <c r="J152" i="17"/>
  <c r="O152" i="17" s="1"/>
  <c r="K152" i="17"/>
  <c r="L152" i="17"/>
  <c r="M152" i="17" s="1"/>
  <c r="I153" i="17"/>
  <c r="N153" i="17" s="1"/>
  <c r="J153" i="17"/>
  <c r="O153" i="17" s="1"/>
  <c r="K153" i="17"/>
  <c r="L153" i="17"/>
  <c r="M153" i="17" s="1"/>
  <c r="I154" i="17"/>
  <c r="J154" i="17"/>
  <c r="O154" i="17" s="1"/>
  <c r="K154" i="17"/>
  <c r="L154" i="17"/>
  <c r="M154" i="17" s="1"/>
  <c r="I155" i="17"/>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I159" i="17"/>
  <c r="N159" i="17" s="1"/>
  <c r="J159" i="17"/>
  <c r="O159" i="17" s="1"/>
  <c r="K159" i="17"/>
  <c r="L159" i="17"/>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J165" i="17"/>
  <c r="O165" i="17" s="1"/>
  <c r="K165" i="17"/>
  <c r="L165" i="17"/>
  <c r="M165" i="17" s="1"/>
  <c r="I166" i="17"/>
  <c r="J166" i="17"/>
  <c r="O166" i="17" s="1"/>
  <c r="K166" i="17"/>
  <c r="L166" i="17"/>
  <c r="I167" i="17"/>
  <c r="N167" i="17" s="1"/>
  <c r="J167" i="17"/>
  <c r="O167" i="17" s="1"/>
  <c r="K167" i="17"/>
  <c r="L167" i="17"/>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I175" i="17"/>
  <c r="J175" i="17"/>
  <c r="O175" i="17" s="1"/>
  <c r="K175" i="17"/>
  <c r="L175" i="17"/>
  <c r="I176" i="17"/>
  <c r="N176" i="17" s="1"/>
  <c r="J176" i="17"/>
  <c r="O176" i="17" s="1"/>
  <c r="K176" i="17"/>
  <c r="L176" i="17"/>
  <c r="M176" i="17" s="1"/>
  <c r="I177" i="17"/>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I183" i="17"/>
  <c r="N183" i="17" s="1"/>
  <c r="J183" i="17"/>
  <c r="O183" i="17" s="1"/>
  <c r="K183" i="17"/>
  <c r="L183" i="17"/>
  <c r="I184" i="17"/>
  <c r="N184" i="17" s="1"/>
  <c r="J184" i="17"/>
  <c r="O184" i="17" s="1"/>
  <c r="K184" i="17"/>
  <c r="L184" i="17"/>
  <c r="M184" i="17" s="1"/>
  <c r="I185" i="17"/>
  <c r="N185" i="17" s="1"/>
  <c r="J185" i="17"/>
  <c r="O185" i="17" s="1"/>
  <c r="K185" i="17"/>
  <c r="L185" i="17"/>
  <c r="M185" i="17" s="1"/>
  <c r="I186" i="17"/>
  <c r="J186" i="17"/>
  <c r="O186" i="17" s="1"/>
  <c r="K186" i="17"/>
  <c r="L186" i="17"/>
  <c r="M186" i="17" s="1"/>
  <c r="I187" i="17"/>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I191" i="17"/>
  <c r="N191" i="17" s="1"/>
  <c r="J191" i="17"/>
  <c r="O191" i="17" s="1"/>
  <c r="K191" i="17"/>
  <c r="L191" i="17"/>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J197" i="17"/>
  <c r="O197" i="17" s="1"/>
  <c r="K197" i="17"/>
  <c r="L197" i="17"/>
  <c r="M197" i="17" s="1"/>
  <c r="I198" i="17"/>
  <c r="J198" i="17"/>
  <c r="O198" i="17" s="1"/>
  <c r="K198" i="17"/>
  <c r="L198" i="17"/>
  <c r="I199" i="17"/>
  <c r="N199" i="17" s="1"/>
  <c r="J199" i="17"/>
  <c r="O199" i="17" s="1"/>
  <c r="K199" i="17"/>
  <c r="L199" i="17"/>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I207" i="17"/>
  <c r="J207" i="17"/>
  <c r="O207" i="17" s="1"/>
  <c r="K207" i="17"/>
  <c r="L207" i="17"/>
  <c r="I208" i="17"/>
  <c r="N208" i="17" s="1"/>
  <c r="J208" i="17"/>
  <c r="O208" i="17" s="1"/>
  <c r="K208" i="17"/>
  <c r="L208" i="17"/>
  <c r="M208" i="17" s="1"/>
  <c r="I209" i="17"/>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I215" i="17"/>
  <c r="N215" i="17" s="1"/>
  <c r="J215" i="17"/>
  <c r="O215" i="17" s="1"/>
  <c r="K215" i="17"/>
  <c r="L215" i="17"/>
  <c r="I216" i="17"/>
  <c r="N216" i="17" s="1"/>
  <c r="J216" i="17"/>
  <c r="O216" i="17" s="1"/>
  <c r="K216" i="17"/>
  <c r="L216" i="17"/>
  <c r="M216" i="17" s="1"/>
  <c r="I217" i="17"/>
  <c r="N217" i="17" s="1"/>
  <c r="J217" i="17"/>
  <c r="O217" i="17" s="1"/>
  <c r="K217" i="17"/>
  <c r="L217" i="17"/>
  <c r="M217" i="17" s="1"/>
  <c r="I218" i="17"/>
  <c r="J218" i="17"/>
  <c r="O218" i="17" s="1"/>
  <c r="K218" i="17"/>
  <c r="L218" i="17"/>
  <c r="M218" i="17" s="1"/>
  <c r="I219" i="17"/>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I223" i="17"/>
  <c r="N223" i="17" s="1"/>
  <c r="J223" i="17"/>
  <c r="O223" i="17" s="1"/>
  <c r="K223" i="17"/>
  <c r="L223" i="17"/>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J229" i="17"/>
  <c r="O229" i="17" s="1"/>
  <c r="K229" i="17"/>
  <c r="L229" i="17"/>
  <c r="M229" i="17" s="1"/>
  <c r="I230" i="17"/>
  <c r="J230" i="17"/>
  <c r="O230" i="17" s="1"/>
  <c r="K230" i="17"/>
  <c r="L230" i="17"/>
  <c r="I231" i="17"/>
  <c r="N231" i="17" s="1"/>
  <c r="J231" i="17"/>
  <c r="O231" i="17" s="1"/>
  <c r="K231" i="17"/>
  <c r="L231" i="17"/>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I239" i="17"/>
  <c r="J239" i="17"/>
  <c r="O239" i="17" s="1"/>
  <c r="K239" i="17"/>
  <c r="L239" i="17"/>
  <c r="I240" i="17"/>
  <c r="N240" i="17" s="1"/>
  <c r="J240" i="17"/>
  <c r="O240" i="17" s="1"/>
  <c r="K240" i="17"/>
  <c r="L240" i="17"/>
  <c r="M240" i="17" s="1"/>
  <c r="I241" i="17"/>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N247" i="17" s="1"/>
  <c r="J247" i="17"/>
  <c r="O247" i="17" s="1"/>
  <c r="K247" i="17"/>
  <c r="L247" i="17"/>
  <c r="I248" i="17"/>
  <c r="N248" i="17" s="1"/>
  <c r="J248" i="17"/>
  <c r="O248" i="17" s="1"/>
  <c r="K248" i="17"/>
  <c r="L248" i="17"/>
  <c r="M248" i="17" s="1"/>
  <c r="I249" i="17"/>
  <c r="N249" i="17" s="1"/>
  <c r="J249" i="17"/>
  <c r="O249" i="17" s="1"/>
  <c r="K249" i="17"/>
  <c r="L249" i="17"/>
  <c r="M249" i="17" s="1"/>
  <c r="I250" i="17"/>
  <c r="J250" i="17"/>
  <c r="O250" i="17" s="1"/>
  <c r="K250" i="17"/>
  <c r="L250" i="17"/>
  <c r="M250" i="17" s="1"/>
  <c r="I251" i="17"/>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I255" i="17"/>
  <c r="N255" i="17" s="1"/>
  <c r="J255" i="17"/>
  <c r="O255" i="17" s="1"/>
  <c r="K255" i="17"/>
  <c r="L255" i="17"/>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J261" i="17"/>
  <c r="O261" i="17" s="1"/>
  <c r="K261" i="17"/>
  <c r="L261" i="17"/>
  <c r="M261" i="17" s="1"/>
  <c r="I262" i="17"/>
  <c r="J262" i="17"/>
  <c r="O262" i="17" s="1"/>
  <c r="K262" i="17"/>
  <c r="L262" i="17"/>
  <c r="I263" i="17"/>
  <c r="N263" i="17" s="1"/>
  <c r="J263" i="17"/>
  <c r="O263" i="17" s="1"/>
  <c r="K263" i="17"/>
  <c r="L263" i="17"/>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J270" i="17"/>
  <c r="O270" i="17" s="1"/>
  <c r="K270" i="17"/>
  <c r="L270" i="17"/>
  <c r="I271" i="17"/>
  <c r="J271" i="17"/>
  <c r="O271" i="17" s="1"/>
  <c r="K271" i="17"/>
  <c r="L271" i="17"/>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J278" i="17"/>
  <c r="O278" i="17" s="1"/>
  <c r="K278" i="17"/>
  <c r="L278" i="17"/>
  <c r="I279" i="17"/>
  <c r="J279" i="17"/>
  <c r="O279" i="17" s="1"/>
  <c r="K279" i="17"/>
  <c r="L279" i="17"/>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J286" i="17"/>
  <c r="O286" i="17" s="1"/>
  <c r="K286" i="17"/>
  <c r="L286" i="17"/>
  <c r="I287" i="17"/>
  <c r="J287" i="17"/>
  <c r="O287" i="17" s="1"/>
  <c r="K287" i="17"/>
  <c r="L287" i="17"/>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J294" i="17"/>
  <c r="O294" i="17" s="1"/>
  <c r="K294" i="17"/>
  <c r="L294" i="17"/>
  <c r="I295" i="17"/>
  <c r="J295" i="17"/>
  <c r="O295" i="17" s="1"/>
  <c r="K295" i="17"/>
  <c r="L295" i="17"/>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J302" i="17"/>
  <c r="O302" i="17" s="1"/>
  <c r="K302" i="17"/>
  <c r="L302" i="17"/>
  <c r="I303" i="17"/>
  <c r="J303" i="17"/>
  <c r="O303" i="17" s="1"/>
  <c r="K303" i="17"/>
  <c r="L303" i="17"/>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J310" i="17"/>
  <c r="O310" i="17" s="1"/>
  <c r="K310" i="17"/>
  <c r="L310" i="17"/>
  <c r="I311" i="17"/>
  <c r="J311" i="17"/>
  <c r="O311" i="17" s="1"/>
  <c r="K311" i="17"/>
  <c r="L311" i="17"/>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J318" i="17"/>
  <c r="O318" i="17" s="1"/>
  <c r="K318" i="17"/>
  <c r="L318" i="17"/>
  <c r="I319" i="17"/>
  <c r="J319" i="17"/>
  <c r="O319" i="17" s="1"/>
  <c r="K319" i="17"/>
  <c r="L319" i="17"/>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J326" i="17"/>
  <c r="O326" i="17" s="1"/>
  <c r="K326" i="17"/>
  <c r="L326" i="17"/>
  <c r="I327" i="17"/>
  <c r="J327" i="17"/>
  <c r="O327" i="17" s="1"/>
  <c r="K327" i="17"/>
  <c r="L327" i="17"/>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I335" i="17"/>
  <c r="J335" i="17"/>
  <c r="O335" i="17" s="1"/>
  <c r="K335" i="17"/>
  <c r="L335" i="17"/>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I343" i="17"/>
  <c r="J343" i="17"/>
  <c r="O343" i="17" s="1"/>
  <c r="K343" i="17"/>
  <c r="L343" i="17"/>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I351" i="17"/>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I357" i="17"/>
  <c r="N357" i="17" s="1"/>
  <c r="J357" i="17"/>
  <c r="O357" i="17" s="1"/>
  <c r="K357" i="17"/>
  <c r="L357" i="17"/>
  <c r="I358" i="17"/>
  <c r="N358" i="17" s="1"/>
  <c r="J358" i="17"/>
  <c r="O358" i="17" s="1"/>
  <c r="K358" i="17"/>
  <c r="L358" i="17"/>
  <c r="M358" i="17" s="1"/>
  <c r="I359" i="17"/>
  <c r="N359" i="17" s="1"/>
  <c r="J359" i="17"/>
  <c r="O359" i="17" s="1"/>
  <c r="K359" i="17"/>
  <c r="L359" i="17"/>
  <c r="M359" i="17" s="1"/>
  <c r="I360" i="17"/>
  <c r="N360" i="17" s="1"/>
  <c r="J360" i="17"/>
  <c r="O360" i="17" s="1"/>
  <c r="K360" i="17"/>
  <c r="L360" i="17"/>
  <c r="I361" i="17"/>
  <c r="N361" i="17" s="1"/>
  <c r="J361" i="17"/>
  <c r="O361" i="17" s="1"/>
  <c r="K361" i="17"/>
  <c r="L361" i="17"/>
  <c r="I362" i="17"/>
  <c r="N362" i="17" s="1"/>
  <c r="J362" i="17"/>
  <c r="O362" i="17" s="1"/>
  <c r="K362" i="17"/>
  <c r="L362" i="17"/>
  <c r="M362" i="17" s="1"/>
  <c r="I363" i="17"/>
  <c r="N363" i="17" s="1"/>
  <c r="J363" i="17"/>
  <c r="O363" i="17" s="1"/>
  <c r="K363" i="17"/>
  <c r="L363" i="17"/>
  <c r="M363" i="17" s="1"/>
  <c r="I364" i="17"/>
  <c r="N364" i="17" s="1"/>
  <c r="J364" i="17"/>
  <c r="O364" i="17" s="1"/>
  <c r="K364" i="17"/>
  <c r="L364" i="17"/>
  <c r="I365" i="17"/>
  <c r="N365" i="17" s="1"/>
  <c r="J365" i="17"/>
  <c r="O365" i="17" s="1"/>
  <c r="K365" i="17"/>
  <c r="L365" i="17"/>
  <c r="I366" i="17"/>
  <c r="N366" i="17" s="1"/>
  <c r="J366" i="17"/>
  <c r="O366" i="17" s="1"/>
  <c r="K366" i="17"/>
  <c r="L366" i="17"/>
  <c r="M366" i="17" s="1"/>
  <c r="I367" i="17"/>
  <c r="J367" i="17"/>
  <c r="O367" i="17" s="1"/>
  <c r="K367" i="17"/>
  <c r="L367" i="17"/>
  <c r="M367" i="17" s="1"/>
  <c r="I368" i="17"/>
  <c r="N368" i="17" s="1"/>
  <c r="J368" i="17"/>
  <c r="O368" i="17" s="1"/>
  <c r="K368" i="17"/>
  <c r="L368" i="17"/>
  <c r="I369" i="17"/>
  <c r="N369" i="17" s="1"/>
  <c r="J369" i="17"/>
  <c r="O369" i="17" s="1"/>
  <c r="K369" i="17"/>
  <c r="L369" i="17"/>
  <c r="I370" i="17"/>
  <c r="N370" i="17" s="1"/>
  <c r="J370" i="17"/>
  <c r="O370" i="17" s="1"/>
  <c r="K370" i="17"/>
  <c r="L370" i="17"/>
  <c r="M370" i="17" s="1"/>
  <c r="I371" i="17"/>
  <c r="N371" i="17" s="1"/>
  <c r="J371" i="17"/>
  <c r="O371" i="17" s="1"/>
  <c r="K371" i="17"/>
  <c r="L371" i="17"/>
  <c r="M371" i="17" s="1"/>
  <c r="I372" i="17"/>
  <c r="N372" i="17" s="1"/>
  <c r="J372" i="17"/>
  <c r="O372" i="17" s="1"/>
  <c r="K372" i="17"/>
  <c r="L372" i="17"/>
  <c r="I373" i="17"/>
  <c r="N373" i="17" s="1"/>
  <c r="J373" i="17"/>
  <c r="O373" i="17" s="1"/>
  <c r="K373" i="17"/>
  <c r="L373" i="17"/>
  <c r="I374" i="17"/>
  <c r="N374" i="17" s="1"/>
  <c r="J374" i="17"/>
  <c r="O374" i="17" s="1"/>
  <c r="K374" i="17"/>
  <c r="L374" i="17"/>
  <c r="M374" i="17" s="1"/>
  <c r="I375" i="17"/>
  <c r="N375" i="17" s="1"/>
  <c r="J375" i="17"/>
  <c r="O375" i="17" s="1"/>
  <c r="K375" i="17"/>
  <c r="L375" i="17"/>
  <c r="M375" i="17" s="1"/>
  <c r="I376" i="17"/>
  <c r="N376" i="17" s="1"/>
  <c r="J376" i="17"/>
  <c r="O376" i="17" s="1"/>
  <c r="K376" i="17"/>
  <c r="L376" i="17"/>
  <c r="I377" i="17"/>
  <c r="N377" i="17" s="1"/>
  <c r="J377" i="17"/>
  <c r="O377" i="17" s="1"/>
  <c r="K377" i="17"/>
  <c r="L377" i="17"/>
  <c r="I378" i="17"/>
  <c r="N378" i="17" s="1"/>
  <c r="J378" i="17"/>
  <c r="O378" i="17" s="1"/>
  <c r="K378" i="17"/>
  <c r="L378" i="17"/>
  <c r="M378" i="17" s="1"/>
  <c r="I379" i="17"/>
  <c r="N379" i="17" s="1"/>
  <c r="J379" i="17"/>
  <c r="O379" i="17" s="1"/>
  <c r="K379" i="17"/>
  <c r="L379" i="17"/>
  <c r="M379" i="17" s="1"/>
  <c r="I380" i="17"/>
  <c r="N380" i="17" s="1"/>
  <c r="J380" i="17"/>
  <c r="O380" i="17" s="1"/>
  <c r="K380" i="17"/>
  <c r="L380" i="17"/>
  <c r="I381" i="17"/>
  <c r="N381" i="17" s="1"/>
  <c r="J381" i="17"/>
  <c r="O381" i="17" s="1"/>
  <c r="K381" i="17"/>
  <c r="L381" i="17"/>
  <c r="I382" i="17"/>
  <c r="N382" i="17" s="1"/>
  <c r="J382" i="17"/>
  <c r="O382" i="17" s="1"/>
  <c r="K382" i="17"/>
  <c r="L382" i="17"/>
  <c r="M382" i="17" s="1"/>
  <c r="I383" i="17"/>
  <c r="N383" i="17" s="1"/>
  <c r="J383" i="17"/>
  <c r="O383" i="17" s="1"/>
  <c r="K383" i="17"/>
  <c r="L383" i="17"/>
  <c r="M383" i="17" s="1"/>
  <c r="I384" i="17"/>
  <c r="N384" i="17" s="1"/>
  <c r="J384" i="17"/>
  <c r="O384" i="17" s="1"/>
  <c r="K384" i="17"/>
  <c r="L384" i="17"/>
  <c r="I385" i="17"/>
  <c r="N385" i="17" s="1"/>
  <c r="J385" i="17"/>
  <c r="O385" i="17" s="1"/>
  <c r="K385" i="17"/>
  <c r="L385" i="17"/>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I686" i="17"/>
  <c r="N686" i="17" s="1"/>
  <c r="J686" i="17"/>
  <c r="O686" i="17" s="1"/>
  <c r="K686" i="17"/>
  <c r="L686" i="17"/>
  <c r="M686" i="17" s="1"/>
  <c r="I687" i="17"/>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I718" i="17"/>
  <c r="N718" i="17" s="1"/>
  <c r="J718" i="17"/>
  <c r="O718" i="17" s="1"/>
  <c r="K718" i="17"/>
  <c r="L718" i="17"/>
  <c r="M718" i="17" s="1"/>
  <c r="I719" i="17"/>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I750" i="17"/>
  <c r="N750" i="17" s="1"/>
  <c r="J750" i="17"/>
  <c r="O750" i="17" s="1"/>
  <c r="K750" i="17"/>
  <c r="L750" i="17"/>
  <c r="M750" i="17" s="1"/>
  <c r="I751" i="17"/>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I782" i="17"/>
  <c r="N782" i="17" s="1"/>
  <c r="J782" i="17"/>
  <c r="O782" i="17" s="1"/>
  <c r="K782" i="17"/>
  <c r="L782" i="17"/>
  <c r="M782" i="17" s="1"/>
  <c r="I783" i="17"/>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I814" i="17"/>
  <c r="N814" i="17" s="1"/>
  <c r="J814" i="17"/>
  <c r="O814" i="17" s="1"/>
  <c r="K814" i="17"/>
  <c r="L814" i="17"/>
  <c r="M814" i="17" s="1"/>
  <c r="I815" i="17"/>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I846" i="17"/>
  <c r="N846" i="17" s="1"/>
  <c r="J846" i="17"/>
  <c r="O846" i="17" s="1"/>
  <c r="K846" i="17"/>
  <c r="L846" i="17"/>
  <c r="M846" i="17" s="1"/>
  <c r="I847" i="17"/>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I910" i="17"/>
  <c r="N910" i="17" s="1"/>
  <c r="J910" i="17"/>
  <c r="O910" i="17" s="1"/>
  <c r="K910" i="17"/>
  <c r="L910" i="17"/>
  <c r="M910" i="17" s="1"/>
  <c r="I911" i="17"/>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I942" i="17"/>
  <c r="N942" i="17" s="1"/>
  <c r="J942" i="17"/>
  <c r="O942" i="17" s="1"/>
  <c r="K942" i="17"/>
  <c r="L942" i="17"/>
  <c r="M942" i="17" s="1"/>
  <c r="I943" i="17"/>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I974" i="17"/>
  <c r="N974" i="17" s="1"/>
  <c r="J974" i="17"/>
  <c r="O974" i="17" s="1"/>
  <c r="K974" i="17"/>
  <c r="L974" i="17"/>
  <c r="M974" i="17" s="1"/>
  <c r="I975" i="17"/>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1001"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8" i="17"/>
  <c r="F9" i="17"/>
  <c r="F10" i="17"/>
  <c r="F11" i="17"/>
  <c r="F12" i="17"/>
  <c r="F13" i="17"/>
  <c r="F14" i="17"/>
  <c r="F3" i="17"/>
  <c r="F4" i="17"/>
  <c r="F5" i="17"/>
  <c r="F6" i="17"/>
  <c r="F7"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<sst xmlns="http://schemas.openxmlformats.org/spreadsheetml/2006/main" count="11128" uniqueCount="6222">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</sst>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_-[$$-409]* #,##0.00_ ;_-[$$-409]* \-#,##0.00\ ;_-[$$-409]* &quot;-&quot;??_ ;_-@_ "/>
    <numFmt numFmtId="167" formatCode="#,##0_ ;\-#,##0\ "/>
    <numFmt numFmtId="168"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167" fontId="0" fillId="0" borderId="0" xfId="0" applyNumberFormat="1"/>
    <xf numFmtId="168" fontId="0" fillId="0" borderId="0" xfId="0" applyNumberFormat="1"/>
  </cellXfs>
  <cellStyles count="1">
    <cellStyle name="Normal" xfId="0" builtinId="0"/>
  </cellStyles>
  <dxfs count="16">
    <dxf>
      <font>
        <b/>
        <i val="0"/>
        <color theme="0"/>
        <name val="Calibri"/>
        <family val="2"/>
        <scheme val="minor"/>
      </font>
      <border>
        <left style="thin">
          <color auto="1"/>
        </left>
        <right style="thin">
          <color auto="1"/>
        </right>
        <top style="thin">
          <color auto="1"/>
        </top>
        <bottom style="thin">
          <color auto="1"/>
        </bottom>
      </border>
    </dxf>
    <dxf>
      <font>
        <b val="0"/>
        <i val="0"/>
        <color theme="0"/>
        <name val="Calibri"/>
        <family val="2"/>
        <scheme val="minor"/>
      </font>
      <fill>
        <patternFill>
          <bgColor rgb="FF3C1464"/>
        </patternFill>
      </fill>
      <border>
        <left style="thin">
          <color auto="1"/>
        </left>
        <right style="thin">
          <color auto="1"/>
        </right>
        <top style="thin">
          <color auto="1"/>
        </top>
        <bottom style="thin">
          <color auto="1"/>
        </bottom>
      </border>
    </dxf>
    <dxf>
      <numFmt numFmtId="0" formatCode="General"/>
    </dxf>
    <dxf>
      <numFmt numFmtId="166" formatCode="_-[$$-409]* #,##0.00_ ;_-[$$-409]* \-#,##0.00\ ;_-[$$-409]* &quot;-&quot;??_ ;_-@_ "/>
    </dxf>
    <dxf>
      <numFmt numFmtId="166" formatCode="_-[$$-409]* #,##0.00_ ;_-[$$-409]* \-#,##0.00\ ;_-[$$-409]* &quot;-&quot;??_ ;_-@_ "/>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Invisible" pivot="0" table="0" count="0" xr9:uid="{8991A09E-A5D2-448A-ABA2-17725193C827}"/>
    <tableStyle name="Slicer Style 1" pivot="0" table="0" count="5" xr9:uid="{DA334F0B-BF98-44D0-8231-448F90570D5F}">
      <tableStyleElement type="wholeTable" dxfId="1"/>
      <tableStyleElement type="headerRow" dxfId="0"/>
    </tableStyle>
    <tableStyle name="Timeline Style 1" pivot="0" table="0" count="8" xr9:uid="{513EAC8B-9114-4EE2-B82D-7DD3FA01F386}">
      <tableStyleElement type="wholeTable" dxfId="15"/>
      <tableStyleElement type="headerRow" dxfId="14"/>
    </tableStyle>
  </tableStyles>
  <colors>
    <mruColors>
      <color rgb="FF3C1464"/>
      <color rgb="FF2FFF8D"/>
      <color rgb="FF00421E"/>
      <color rgb="FF00C459"/>
      <color rgb="FF00DE64"/>
      <color rgb="FF7DFFB8"/>
      <color rgb="FF01FF74"/>
      <color rgb="FF00D25F"/>
      <color rgb="FFAB73E3"/>
      <color rgb="FF3CFFFF"/>
    </mruColors>
  </colors>
  <extLst>
    <ext xmlns:x14="http://schemas.microsoft.com/office/spreadsheetml/2009/9/main" uri="{46F421CA-312F-682f-3DD2-61675219B42D}">
      <x14:dxfs count="3">
        <dxf>
          <font>
            <b/>
            <i val="0"/>
            <color theme="0"/>
            <name val="Calibri"/>
            <family val="2"/>
            <scheme val="minor"/>
          </font>
          <border>
            <left style="thin">
              <color theme="0"/>
            </left>
            <right style="thin">
              <color theme="0"/>
            </right>
            <top style="thin">
              <color theme="0"/>
            </top>
            <bottom style="thin">
              <color theme="0"/>
            </bottom>
          </border>
        </dxf>
        <dxf>
          <font>
            <b val="0"/>
            <i val="0"/>
            <strike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B73E3"/>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project.xlsx]Total Sales!TotalSales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extLst>
            <c:ext xmlns:c16="http://schemas.microsoft.com/office/drawing/2014/chart" uri="{C3380CC4-5D6E-409C-BE32-E72D297353CC}">
              <c16:uniqueId val="{00000000-71C6-4B2E-A132-5EE10906166B}"/>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extLst>
            <c:ext xmlns:c16="http://schemas.microsoft.com/office/drawing/2014/chart" uri="{C3380CC4-5D6E-409C-BE32-E72D297353CC}">
              <c16:uniqueId val="{00000001-71C6-4B2E-A132-5EE10906166B}"/>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extLst>
            <c:ext xmlns:c16="http://schemas.microsoft.com/office/drawing/2014/chart" uri="{C3380CC4-5D6E-409C-BE32-E72D297353CC}">
              <c16:uniqueId val="{00000002-71C6-4B2E-A132-5EE10906166B}"/>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extLst>
            <c:ext xmlns:c16="http://schemas.microsoft.com/office/drawing/2014/chart" uri="{C3380CC4-5D6E-409C-BE32-E72D297353CC}">
              <c16:uniqueId val="{00000003-71C6-4B2E-A132-5EE10906166B}"/>
            </c:ext>
          </c:extLst>
        </c:ser>
        <c:dLbls>
          <c:showLegendKey val="0"/>
          <c:showVal val="0"/>
          <c:showCatName val="0"/>
          <c:showSerName val="0"/>
          <c:showPercent val="0"/>
          <c:showBubbleSize val="0"/>
        </c:dLbls>
        <c:smooth val="0"/>
        <c:axId val="373116016"/>
        <c:axId val="373117456"/>
      </c:lineChart>
      <c:catAx>
        <c:axId val="3731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73117456"/>
        <c:crosses val="autoZero"/>
        <c:auto val="1"/>
        <c:lblAlgn val="ctr"/>
        <c:lblOffset val="100"/>
        <c:noMultiLvlLbl val="0"/>
      </c:catAx>
      <c:valAx>
        <c:axId val="373117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73116016"/>
        <c:crosses val="autoZero"/>
        <c:crossBetween val="between"/>
      </c:valAx>
      <c:spPr>
        <a:solidFill>
          <a:srgbClr val="D3B6F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project.xlsx]Country Bar Chart!TotalSales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FF8D"/>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FFF8D"/>
          </a:solidFill>
          <a:ln w="25400">
            <a:solidFill>
              <a:schemeClr val="bg1"/>
            </a:solidFill>
          </a:ln>
          <a:effectLst/>
        </c:spPr>
      </c:pivotFmt>
      <c:pivotFmt>
        <c:idx val="6"/>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FFF8D"/>
          </a:solidFill>
          <a:ln w="25400">
            <a:solidFill>
              <a:schemeClr val="bg1"/>
            </a:solidFill>
          </a:ln>
          <a:effectLst/>
        </c:spPr>
      </c:pivotFmt>
      <c:pivotFmt>
        <c:idx val="10"/>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421E"/>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2FFF8D"/>
              </a:solidFill>
              <a:ln w="25400">
                <a:solidFill>
                  <a:schemeClr val="bg1"/>
                </a:solidFill>
              </a:ln>
              <a:effectLst/>
            </c:spPr>
            <c:extLst>
              <c:ext xmlns:c16="http://schemas.microsoft.com/office/drawing/2014/chart" uri="{C3380CC4-5D6E-409C-BE32-E72D297353CC}">
                <c16:uniqueId val="{00000001-6C90-45F8-A48D-00F3C0BEE8D6}"/>
              </c:ext>
            </c:extLst>
          </c:dPt>
          <c:dPt>
            <c:idx val="2"/>
            <c:invertIfNegative val="0"/>
            <c:bubble3D val="0"/>
            <c:spPr>
              <a:solidFill>
                <a:srgbClr val="00421E"/>
              </a:solidFill>
              <a:ln w="25400">
                <a:solidFill>
                  <a:schemeClr val="bg1"/>
                </a:solidFill>
              </a:ln>
              <a:effectLst/>
            </c:spPr>
            <c:extLst>
              <c:ext xmlns:c16="http://schemas.microsoft.com/office/drawing/2014/chart" uri="{C3380CC4-5D6E-409C-BE32-E72D297353CC}">
                <c16:uniqueId val="{00000003-6C90-45F8-A48D-00F3C0BEE8D6}"/>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90-45F8-A48D-00F3C0BEE8D6}"/>
                </c:ext>
              </c:extLst>
            </c:dLbl>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[$$-409]#,##0_ ;\-[$$-409]#,##0\ </c:formatCode>
                <c:ptCount val="3"/>
                <c:pt idx="0">
                  <c:v>992.5400000000003</c:v>
                </c:pt>
                <c:pt idx="1">
                  <c:v>1428.4850000000001</c:v>
                </c:pt>
                <c:pt idx="2">
                  <c:v>12179.449999999992</c:v>
                </c:pt>
              </c:numCache>
            </c:numRef>
          </c:val>
          <c:extLst>
            <c:ext xmlns:c16="http://schemas.microsoft.com/office/drawing/2014/chart" uri="{C3380CC4-5D6E-409C-BE32-E72D297353CC}">
              <c16:uniqueId val="{00000005-6C90-45F8-A48D-00F3C0BEE8D6}"/>
            </c:ext>
          </c:extLst>
        </c:ser>
        <c:dLbls>
          <c:showLegendKey val="0"/>
          <c:showVal val="0"/>
          <c:showCatName val="0"/>
          <c:showSerName val="0"/>
          <c:showPercent val="0"/>
          <c:showBubbleSize val="0"/>
        </c:dLbls>
        <c:gapWidth val="182"/>
        <c:axId val="526688719"/>
        <c:axId val="526689679"/>
      </c:barChart>
      <c:catAx>
        <c:axId val="52668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6689679"/>
        <c:crosses val="autoZero"/>
        <c:auto val="1"/>
        <c:lblAlgn val="ctr"/>
        <c:lblOffset val="100"/>
        <c:noMultiLvlLbl val="0"/>
      </c:catAx>
      <c:valAx>
        <c:axId val="526689679"/>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668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project.xlsx]Top5Customers!TotalSales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FF8D"/>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FFF8D"/>
          </a:solidFill>
          <a:ln w="25400">
            <a:solidFill>
              <a:schemeClr val="bg1"/>
            </a:solidFill>
          </a:ln>
          <a:effectLst/>
        </c:spPr>
      </c:pivotFmt>
      <c:pivotFmt>
        <c:idx val="6"/>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5A1-4CEE-98D1-46FDA6BE052F}"/>
              </c:ext>
            </c:extLst>
          </c:dPt>
          <c:dPt>
            <c:idx val="2"/>
            <c:invertIfNegative val="0"/>
            <c:bubble3D val="0"/>
            <c:extLst>
              <c:ext xmlns:c16="http://schemas.microsoft.com/office/drawing/2014/chart" uri="{C3380CC4-5D6E-409C-BE32-E72D297353CC}">
                <c16:uniqueId val="{00000001-45A1-4CEE-98D1-46FDA6BE052F}"/>
              </c:ext>
            </c:extLst>
          </c:dPt>
          <c:cat>
            <c:strRef>
              <c:f>Top5Customers!$A$4:$A$8</c:f>
              <c:strCache>
                <c:ptCount val="5"/>
                <c:pt idx="0">
                  <c:v>Hall Ranner</c:v>
                </c:pt>
                <c:pt idx="1">
                  <c:v>Claudetta Rushe</c:v>
                </c:pt>
                <c:pt idx="2">
                  <c:v>Hatty Dovydenas</c:v>
                </c:pt>
                <c:pt idx="3">
                  <c:v>Lemuel Rignold</c:v>
                </c:pt>
                <c:pt idx="4">
                  <c:v>Derick Snow</c:v>
                </c:pt>
              </c:strCache>
            </c:strRef>
          </c:cat>
          <c:val>
            <c:numRef>
              <c:f>Top5Customers!$B$4:$B$8</c:f>
              <c:numCache>
                <c:formatCode>[$$-409]#,##0_ ;\-[$$-409]#,##0\ </c:formatCode>
                <c:ptCount val="5"/>
                <c:pt idx="0">
                  <c:v>158.12499999999997</c:v>
                </c:pt>
                <c:pt idx="1">
                  <c:v>189.74999999999997</c:v>
                </c:pt>
                <c:pt idx="2">
                  <c:v>189.74999999999997</c:v>
                </c:pt>
                <c:pt idx="3">
                  <c:v>200.78999999999996</c:v>
                </c:pt>
                <c:pt idx="4">
                  <c:v>251.12499999999997</c:v>
                </c:pt>
              </c:numCache>
            </c:numRef>
          </c:val>
          <c:extLst>
            <c:ext xmlns:c16="http://schemas.microsoft.com/office/drawing/2014/chart" uri="{C3380CC4-5D6E-409C-BE32-E72D297353CC}">
              <c16:uniqueId val="{00000002-45A1-4CEE-98D1-46FDA6BE052F}"/>
            </c:ext>
          </c:extLst>
        </c:ser>
        <c:dLbls>
          <c:showLegendKey val="0"/>
          <c:showVal val="0"/>
          <c:showCatName val="0"/>
          <c:showSerName val="0"/>
          <c:showPercent val="0"/>
          <c:showBubbleSize val="0"/>
        </c:dLbls>
        <c:gapWidth val="182"/>
        <c:axId val="526688719"/>
        <c:axId val="526689679"/>
      </c:barChart>
      <c:catAx>
        <c:axId val="52668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6689679"/>
        <c:crosses val="autoZero"/>
        <c:auto val="1"/>
        <c:lblAlgn val="ctr"/>
        <c:lblOffset val="100"/>
        <c:noMultiLvlLbl val="0"/>
      </c:catAx>
      <c:valAx>
        <c:axId val="526689679"/>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2668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47624</xdr:rowOff>
    </xdr:from>
    <xdr:to>
      <xdr:col>22</xdr:col>
      <xdr:colOff>287055</xdr:colOff>
      <xdr:row>4</xdr:row>
      <xdr:rowOff>104775</xdr:rowOff>
    </xdr:to>
    <xdr:sp macro="" textlink="">
      <xdr:nvSpPr>
        <xdr:cNvPr id="2" name="Rectangle 1">
          <a:extLst>
            <a:ext uri="{FF2B5EF4-FFF2-40B4-BE49-F238E27FC236}">
              <a16:creationId xmlns:a16="http://schemas.microsoft.com/office/drawing/2014/main" id="{E02C8136-6025-3774-6F60-7399F13C705F}"/>
            </a:ext>
          </a:extLst>
        </xdr:cNvPr>
        <xdr:cNvSpPr/>
      </xdr:nvSpPr>
      <xdr:spPr>
        <a:xfrm>
          <a:off x="47624" y="47624"/>
          <a:ext cx="13235184" cy="696500"/>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bg1"/>
              </a:solidFill>
            </a:rPr>
            <a:t>COFFEE SALES DASHBOARD</a:t>
          </a:r>
        </a:p>
      </xdr:txBody>
    </xdr:sp>
    <xdr:clientData/>
  </xdr:twoCellAnchor>
  <xdr:twoCellAnchor>
    <xdr:from>
      <xdr:col>0</xdr:col>
      <xdr:colOff>73722</xdr:colOff>
      <xdr:row>14</xdr:row>
      <xdr:rowOff>9525</xdr:rowOff>
    </xdr:from>
    <xdr:to>
      <xdr:col>13</xdr:col>
      <xdr:colOff>117431</xdr:colOff>
      <xdr:row>35</xdr:row>
      <xdr:rowOff>52192</xdr:rowOff>
    </xdr:to>
    <xdr:graphicFrame macro="">
      <xdr:nvGraphicFramePr>
        <xdr:cNvPr id="3" name="Chart 2">
          <a:extLst>
            <a:ext uri="{FF2B5EF4-FFF2-40B4-BE49-F238E27FC236}">
              <a16:creationId xmlns:a16="http://schemas.microsoft.com/office/drawing/2014/main" id="{A3E4A064-A6AC-49E3-95DA-978103DC2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47623</xdr:colOff>
      <xdr:row>4</xdr:row>
      <xdr:rowOff>123826</xdr:rowOff>
    </xdr:from>
    <xdr:to>
      <xdr:col>15</xdr:col>
      <xdr:colOff>561062</xdr:colOff>
      <xdr:row>13</xdr:row>
      <xdr:rowOff>156575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4D9A1BCD-3F70-421E-BE05-42434048B2A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7623" y="763175"/>
              <a:ext cx="9216418" cy="17942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13048</xdr:colOff>
      <xdr:row>9</xdr:row>
      <xdr:rowOff>0</xdr:rowOff>
    </xdr:from>
    <xdr:to>
      <xdr:col>19</xdr:col>
      <xdr:colOff>221815</xdr:colOff>
      <xdr:row>13</xdr:row>
      <xdr:rowOff>156574</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7BB3B0E7-8483-43C8-8583-0AAA9112D3E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329281" y="1617945"/>
              <a:ext cx="2048527" cy="939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8611</xdr:colOff>
      <xdr:row>4</xdr:row>
      <xdr:rowOff>136875</xdr:rowOff>
    </xdr:from>
    <xdr:to>
      <xdr:col>22</xdr:col>
      <xdr:colOff>274007</xdr:colOff>
      <xdr:row>8</xdr:row>
      <xdr:rowOff>143527</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01F07B39-C1DE-4139-90C4-600AED2351E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324844" y="776224"/>
              <a:ext cx="3944916" cy="789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260959</xdr:colOff>
      <xdr:row>8</xdr:row>
      <xdr:rowOff>190110</xdr:rowOff>
    </xdr:from>
    <xdr:to>
      <xdr:col>22</xdr:col>
      <xdr:colOff>299450</xdr:colOff>
      <xdr:row>13</xdr:row>
      <xdr:rowOff>143527</xdr:rowOff>
    </xdr:to>
    <mc:AlternateContent xmlns:mc="http://schemas.openxmlformats.org/markup-compatibility/2006">
      <mc:Choice xmlns:a14="http://schemas.microsoft.com/office/drawing/2010/main" Requires="a14">
        <xdr:graphicFrame macro="">
          <xdr:nvGraphicFramePr>
            <xdr:cNvPr id="7" name="Loyality Card">
              <a:extLst>
                <a:ext uri="{FF2B5EF4-FFF2-40B4-BE49-F238E27FC236}">
                  <a16:creationId xmlns:a16="http://schemas.microsoft.com/office/drawing/2014/main" id="{42041E1E-D8FC-4F63-80CF-CE752047DC07}"/>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1416952" y="1612336"/>
              <a:ext cx="1878251" cy="932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164402</xdr:colOff>
      <xdr:row>14</xdr:row>
      <xdr:rowOff>15526</xdr:rowOff>
    </xdr:from>
    <xdr:to>
      <xdr:col>22</xdr:col>
      <xdr:colOff>287055</xdr:colOff>
      <xdr:row>23</xdr:row>
      <xdr:rowOff>182670</xdr:rowOff>
    </xdr:to>
    <xdr:graphicFrame macro="">
      <xdr:nvGraphicFramePr>
        <xdr:cNvPr id="8" name="Chart 7">
          <a:extLst>
            <a:ext uri="{FF2B5EF4-FFF2-40B4-BE49-F238E27FC236}">
              <a16:creationId xmlns:a16="http://schemas.microsoft.com/office/drawing/2014/main" id="{08C56F08-982E-444E-AFEA-3BC5E7509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169623</xdr:colOff>
      <xdr:row>24</xdr:row>
      <xdr:rowOff>39144</xdr:rowOff>
    </xdr:from>
    <xdr:to>
      <xdr:col>22</xdr:col>
      <xdr:colOff>300103</xdr:colOff>
      <xdr:row>35</xdr:row>
      <xdr:rowOff>39144</xdr:rowOff>
    </xdr:to>
    <xdr:graphicFrame macro="">
      <xdr:nvGraphicFramePr>
        <xdr:cNvPr id="9" name="Chart 8">
          <a:extLst>
            <a:ext uri="{FF2B5EF4-FFF2-40B4-BE49-F238E27FC236}">
              <a16:creationId xmlns:a16="http://schemas.microsoft.com/office/drawing/2014/main" id="{B36DE137-B184-46A6-B4E9-6CC1A1F48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9.292680092592" createdVersion="8" refreshedVersion="8" minRefreshableVersion="3" recordCount="1000" xr:uid="{31449A1D-91C0-4877-B464-B26E2E3E879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26128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9BA3E-C443-4DE0-9A4D-A026C3482B01}"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381"/>
    </i>
    <i>
      <x v="181"/>
    </i>
    <i>
      <x v="390"/>
    </i>
    <i>
      <x v="528"/>
    </i>
    <i>
      <x v="237"/>
    </i>
  </rowItems>
  <colItems count="1">
    <i/>
  </colItems>
  <dataFields count="1">
    <dataField name="Sum of Sales" fld="12" baseField="0" baseItem="0" numFmtId="168"/>
  </dataFields>
  <chartFormats count="4">
    <chartFormat chart="3"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62D8E9-1B74-4FA5-9793-01499F7A5BC6}"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7B6E9B-D97C-40E3-B12C-D95571323C36}"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7"/>
  </dataFields>
  <chartFormats count="4">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45E2CAF-75DD-457F-A1C4-9BD95F93C966}" sourceName="Size">
  <pivotTables>
    <pivotTable tabId="20" name="TotalSales"/>
    <pivotTable tabId="21" name="TotalSales"/>
    <pivotTable tabId="22" name="TotalSales"/>
  </pivotTables>
  <data>
    <tabular pivotCacheId="192612871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407E042-9470-49AA-A8F3-7984682BEE2E}" sourceName="Roast Type Name">
  <pivotTables>
    <pivotTable tabId="20" name="TotalSales"/>
    <pivotTable tabId="21" name="TotalSales"/>
    <pivotTable tabId="22" name="TotalSales"/>
  </pivotTables>
  <data>
    <tabular pivotCacheId="1926128715">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00CD9E98-AC88-4948-B57D-E78DBCF4B288}" sourceName="Loyality Card">
  <pivotTables>
    <pivotTable tabId="20" name="TotalSales"/>
    <pivotTable tabId="21" name="TotalSales"/>
    <pivotTable tabId="22" name="TotalSales"/>
  </pivotTables>
  <data>
    <tabular pivotCacheId="19261287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E6868B0-122A-4426-917E-28AB1C0FF6D8}" cache="Slicer_Size" caption="Size" columnCount="2" style="Slicer Style 1" rowHeight="241300"/>
  <slicer name="Roast Type Name" xr10:uid="{2F6B9194-7978-4DAF-BCA5-52886DCF298B}" cache="Slicer_Roast_Type_Name" caption="Roast Type Name" columnCount="3" style="Slicer Style 1" rowHeight="241300"/>
  <slicer name="Loyality Card" xr10:uid="{04DB97C0-FD10-42A9-AC28-40733658C03C}" cache="Slicer_Loyality_Card" caption="Loyali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86664D-C8B4-4437-8895-7AA2CAE7E15A}" name="Orders" displayName="Orders" ref="A1:P1001" totalsRowShown="0" headerRowDxfId="13">
  <autoFilter ref="A1:P1001" xr:uid="{6086664D-C8B4-4437-8895-7AA2CAE7E15A}"/>
  <tableColumns count="16">
    <tableColumn id="1" xr3:uid="{3B729392-E3FA-4E73-8D2C-B177361A90C9}" name="Order ID" dataDxfId="12"/>
    <tableColumn id="2" xr3:uid="{33A92B7C-5B7B-474F-BDDC-6DC6FE3029EF}" name="Order Date" dataDxfId="11"/>
    <tableColumn id="3" xr3:uid="{264889C3-4642-41F9-8EA1-5A03E1B7F4D1}" name="Customer ID" dataDxfId="10"/>
    <tableColumn id="4" xr3:uid="{4739C7DF-DE95-47E2-A0FB-BCA59833683B}" name="Product ID"/>
    <tableColumn id="5" xr3:uid="{F5E9AF51-5EEE-4869-A2DE-6C22F8CE7606}" name="Quantity" dataDxfId="9"/>
    <tableColumn id="6" xr3:uid="{CB6F9C7E-DAA8-4E30-8D38-DBC2669A7213}" name="Customer Name" dataDxfId="8">
      <calculatedColumnFormula>_xlfn.XLOOKUP(C2,customers!$A$1:$A$1001,customers!$B$1:$B$1001,,0)</calculatedColumnFormula>
    </tableColumn>
    <tableColumn id="7" xr3:uid="{C96019FE-ADAF-41DF-A4AD-421106C3D325}" name="Email" dataDxfId="7">
      <calculatedColumnFormula>IF(_xlfn.XLOOKUP(orders!C2,customers!$A$1:$A$1001,customers!$C$1:$C$1001,,0)=0,"",_xlfn.XLOOKUP(orders!C2,customers!$A$1:$A$1001,customers!$C$1:$C$1001,,0))</calculatedColumnFormula>
    </tableColumn>
    <tableColumn id="8" xr3:uid="{A8FB7BC9-0E36-45A8-B55B-955A467DBB21}" name="Country" dataDxfId="6">
      <calculatedColumnFormula>_xlfn.XLOOKUP(C2,customers!$A$1:$A$1001,customers!$G$1:$G$1001,,0)</calculatedColumnFormula>
    </tableColumn>
    <tableColumn id="9" xr3:uid="{AB81E8E3-252C-42EC-B289-846317E436D5}" name="Coffee Type">
      <calculatedColumnFormula>INDEX(products!$A$1:$G$49,MATCH(orders!$D2,products!$A$1:$A$49,0),MATCH(orders!I$1,products!$A$1:$G$1,0))</calculatedColumnFormula>
    </tableColumn>
    <tableColumn id="10" xr3:uid="{7AA00C9F-E31B-4C74-9CFA-14325F7B76BE}" name="Roast Type">
      <calculatedColumnFormula>INDEX(products!$A$1:$G$49,MATCH(orders!$D2,products!$A$1:$A$49,0),MATCH(orders!J$1,products!$A$1:$G$1,0))</calculatedColumnFormula>
    </tableColumn>
    <tableColumn id="11" xr3:uid="{8B4ED291-567D-45F0-88BF-3A26034ADE00}" name="Size" dataDxfId="5">
      <calculatedColumnFormula>INDEX(products!$A$1:$G$49,MATCH(orders!$D2,products!$A$1:$A$49,0),MATCH(orders!K$1,products!$A$1:$G$1,0))</calculatedColumnFormula>
    </tableColumn>
    <tableColumn id="12" xr3:uid="{D0533990-7210-46CD-99F6-FC91FBFD2204}" name="Unit Price" dataDxfId="4">
      <calculatedColumnFormula>INDEX(products!$A$1:$G$49,MATCH(orders!$D2,products!$A$1:$A$49,0),MATCH(orders!L$1,products!$A$1:$G$1,0))</calculatedColumnFormula>
    </tableColumn>
    <tableColumn id="13" xr3:uid="{AD85F8BD-B3C5-4E17-BA81-5B68C9CE5230}" name="Sales" dataDxfId="3">
      <calculatedColumnFormula>L2*E2</calculatedColumnFormula>
    </tableColumn>
    <tableColumn id="14" xr3:uid="{424E2274-3A50-40E0-A598-8EF360685475}" name="Coffee Type Name">
      <calculatedColumnFormula>IF(I2="Rob","Robusta",IF(I2="Exc","Excelsa",IF(I2="Ara","Arabica",IF(I2="Lib","liberica",""))))</calculatedColumnFormula>
    </tableColumn>
    <tableColumn id="15" xr3:uid="{F1A516C9-0BA2-4250-BF12-628221C7BB10}" name="Roast Type Name">
      <calculatedColumnFormula>IF(J2="M","Medium",IF(J2="L","Light",IF(J2="D","Dark","")))</calculatedColumnFormula>
    </tableColumn>
    <tableColumn id="16" xr3:uid="{573847AE-2243-4245-AFA9-2135498DE89A}" name="Loyali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958330C-0EC5-4759-AF36-2966C6349920}" sourceName="Order Date">
  <pivotTables>
    <pivotTable tabId="20" name="TotalSales"/>
    <pivotTable tabId="21" name="TotalSales"/>
    <pivotTable tabId="22" name="TotalSales"/>
  </pivotTables>
  <state minimalRefreshVersion="6" lastRefreshVersion="6" pivotCacheId="192612871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371B861-9AA0-479B-9CBA-9935C7C093C5}" cache="NativeTimeline_Order_Date" caption="Order Date" level="2" selectionLevel="2" scrollPosition="2020-04-10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B65D-FA08-4E9F-A8D0-E99F6E2048DA}">
  <dimension ref="A3:B8"/>
  <sheetViews>
    <sheetView workbookViewId="0">
      <selection activeCell="I15" sqref="I15"/>
    </sheetView>
  </sheetViews>
  <sheetFormatPr defaultRowHeight="15" x14ac:dyDescent="0.25"/>
  <cols>
    <col min="1" max="1" width="17.7109375" bestFit="1" customWidth="1"/>
    <col min="2" max="2" width="12.140625" bestFit="1" customWidth="1"/>
    <col min="3" max="3" width="7.42578125" bestFit="1" customWidth="1"/>
    <col min="4" max="4" width="7.5703125" bestFit="1" customWidth="1"/>
    <col min="5" max="6" width="8.140625" bestFit="1" customWidth="1"/>
  </cols>
  <sheetData>
    <row r="3" spans="1:2" x14ac:dyDescent="0.25">
      <c r="A3" s="5" t="s">
        <v>4</v>
      </c>
      <c r="B3" t="s">
        <v>6220</v>
      </c>
    </row>
    <row r="4" spans="1:2" x14ac:dyDescent="0.25">
      <c r="A4" t="s">
        <v>5593</v>
      </c>
      <c r="B4" s="7">
        <v>158.12499999999997</v>
      </c>
    </row>
    <row r="5" spans="1:2" x14ac:dyDescent="0.25">
      <c r="A5" t="s">
        <v>2246</v>
      </c>
      <c r="B5" s="7">
        <v>189.74999999999997</v>
      </c>
    </row>
    <row r="6" spans="1:2" x14ac:dyDescent="0.25">
      <c r="A6" t="s">
        <v>3656</v>
      </c>
      <c r="B6" s="7">
        <v>189.74999999999997</v>
      </c>
    </row>
    <row r="7" spans="1:2" x14ac:dyDescent="0.25">
      <c r="A7" t="s">
        <v>2930</v>
      </c>
      <c r="B7" s="7">
        <v>200.78999999999996</v>
      </c>
    </row>
    <row r="8" spans="1:2" x14ac:dyDescent="0.25">
      <c r="A8" t="s">
        <v>5555</v>
      </c>
      <c r="B8" s="7">
        <v>251.12499999999997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65C4-A3CA-436C-8E60-66E7F9C08912}">
  <dimension ref="A1"/>
  <sheetViews>
    <sheetView showGridLines="0" showRowColHeaders="0" tabSelected="1" zoomScale="73" zoomScaleNormal="73" workbookViewId="0">
      <selection activeCell="Y22" sqref="Y22"/>
    </sheetView>
  </sheetViews>
  <sheetFormatPr defaultRowHeight="15" x14ac:dyDescent="0.25"/>
  <cols>
    <col min="1" max="1" width="1.7109375" customWidth="1"/>
  </cols>
  <sheetData>
    <row r="1" customFormat="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AD8D-4994-4E38-965C-66D90D54C5C7}">
  <dimension ref="A3:B6"/>
  <sheetViews>
    <sheetView workbookViewId="0">
      <selection activeCell="I15" sqref="I15"/>
    </sheetView>
  </sheetViews>
  <sheetFormatPr defaultRowHeight="15" x14ac:dyDescent="0.25"/>
  <cols>
    <col min="1" max="1" width="15.42578125" bestFit="1" customWidth="1"/>
    <col min="2" max="2" width="12.140625" bestFit="1" customWidth="1"/>
    <col min="3" max="3" width="7.42578125" bestFit="1" customWidth="1"/>
    <col min="4" max="4" width="7.5703125" bestFit="1" customWidth="1"/>
    <col min="5" max="6" width="8.140625" bestFit="1" customWidth="1"/>
  </cols>
  <sheetData>
    <row r="3" spans="1:2" x14ac:dyDescent="0.25">
      <c r="A3" s="5" t="s">
        <v>7</v>
      </c>
      <c r="B3" t="s">
        <v>6220</v>
      </c>
    </row>
    <row r="4" spans="1:2" x14ac:dyDescent="0.25">
      <c r="A4" t="s">
        <v>28</v>
      </c>
      <c r="B4" s="7">
        <v>992.5400000000003</v>
      </c>
    </row>
    <row r="5" spans="1:2" x14ac:dyDescent="0.25">
      <c r="A5" t="s">
        <v>318</v>
      </c>
      <c r="B5" s="7">
        <v>1428.4850000000001</v>
      </c>
    </row>
    <row r="6" spans="1:2" x14ac:dyDescent="0.25">
      <c r="A6" t="s">
        <v>19</v>
      </c>
      <c r="B6" s="7">
        <v>12179.449999999992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BE69-1CCC-4850-8DD3-C2306C38F3EA}">
  <dimension ref="A3:F48"/>
  <sheetViews>
    <sheetView workbookViewId="0">
      <selection activeCell="I10" sqref="I10"/>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5703125" bestFit="1" customWidth="1"/>
    <col min="6" max="6" width="8.140625" bestFit="1" customWidth="1"/>
  </cols>
  <sheetData>
    <row r="3" spans="1:6" x14ac:dyDescent="0.25">
      <c r="A3" s="5" t="s">
        <v>6220</v>
      </c>
      <c r="C3" s="5" t="s">
        <v>6196</v>
      </c>
    </row>
    <row r="4" spans="1:6" x14ac:dyDescent="0.25">
      <c r="A4" s="5" t="s">
        <v>6214</v>
      </c>
      <c r="B4" s="5" t="s">
        <v>6215</v>
      </c>
      <c r="C4" t="s">
        <v>6216</v>
      </c>
      <c r="D4" t="s">
        <v>6217</v>
      </c>
      <c r="E4" t="s">
        <v>6218</v>
      </c>
      <c r="F4" t="s">
        <v>6219</v>
      </c>
    </row>
    <row r="5" spans="1:6" x14ac:dyDescent="0.25">
      <c r="A5" t="s">
        <v>6198</v>
      </c>
      <c r="B5" t="s">
        <v>6202</v>
      </c>
      <c r="C5" s="6">
        <v>40.5</v>
      </c>
      <c r="D5" s="6">
        <v>33</v>
      </c>
      <c r="E5" s="6"/>
      <c r="F5" s="6">
        <v>101.49</v>
      </c>
    </row>
    <row r="6" spans="1:6" x14ac:dyDescent="0.25">
      <c r="B6" t="s">
        <v>6203</v>
      </c>
      <c r="C6" s="6">
        <v>49.5</v>
      </c>
      <c r="D6" s="6">
        <v>96.25</v>
      </c>
      <c r="E6" s="6">
        <v>68.384999999999991</v>
      </c>
      <c r="F6" s="6"/>
    </row>
    <row r="7" spans="1:6" x14ac:dyDescent="0.25">
      <c r="B7" t="s">
        <v>6204</v>
      </c>
      <c r="C7" s="6">
        <v>165.375</v>
      </c>
      <c r="D7" s="6">
        <v>104.5</v>
      </c>
      <c r="E7" s="6">
        <v>186.23999999999998</v>
      </c>
      <c r="F7" s="6">
        <v>17.91</v>
      </c>
    </row>
    <row r="8" spans="1:6" x14ac:dyDescent="0.25">
      <c r="B8" t="s">
        <v>6205</v>
      </c>
      <c r="C8" s="6">
        <v>195.74999999999997</v>
      </c>
      <c r="D8" s="6"/>
      <c r="E8" s="6">
        <v>240.07499999999999</v>
      </c>
      <c r="F8" s="6">
        <v>17.91</v>
      </c>
    </row>
    <row r="9" spans="1:6" x14ac:dyDescent="0.25">
      <c r="B9" t="s">
        <v>6206</v>
      </c>
      <c r="C9" s="6"/>
      <c r="D9" s="6"/>
      <c r="E9" s="6">
        <v>48.015000000000001</v>
      </c>
      <c r="F9" s="6">
        <v>35.82</v>
      </c>
    </row>
    <row r="10" spans="1:6" x14ac:dyDescent="0.25">
      <c r="B10" t="s">
        <v>6207</v>
      </c>
      <c r="C10" s="6">
        <v>155.24999999999997</v>
      </c>
      <c r="D10" s="6">
        <v>325.87499999999994</v>
      </c>
      <c r="E10" s="6">
        <v>43.650000000000006</v>
      </c>
      <c r="F10" s="6">
        <v>29.849999999999998</v>
      </c>
    </row>
    <row r="11" spans="1:6" x14ac:dyDescent="0.25">
      <c r="B11" t="s">
        <v>6208</v>
      </c>
      <c r="C11" s="6"/>
      <c r="D11" s="6">
        <v>49.5</v>
      </c>
      <c r="E11" s="6"/>
      <c r="F11" s="6">
        <v>68.655000000000001</v>
      </c>
    </row>
    <row r="12" spans="1:6" x14ac:dyDescent="0.25">
      <c r="B12" t="s">
        <v>6209</v>
      </c>
      <c r="C12" s="6">
        <v>77.624999999999986</v>
      </c>
      <c r="D12" s="6">
        <v>41.25</v>
      </c>
      <c r="E12" s="6">
        <v>87.300000000000011</v>
      </c>
      <c r="F12" s="6">
        <v>77.61</v>
      </c>
    </row>
    <row r="13" spans="1:6" x14ac:dyDescent="0.25">
      <c r="B13" t="s">
        <v>6210</v>
      </c>
      <c r="C13" s="6"/>
      <c r="D13" s="6">
        <v>77</v>
      </c>
      <c r="E13" s="6">
        <v>200.78999999999996</v>
      </c>
      <c r="F13" s="6">
        <v>314.41999999999996</v>
      </c>
    </row>
    <row r="14" spans="1:6" x14ac:dyDescent="0.25">
      <c r="B14" t="s">
        <v>6211</v>
      </c>
      <c r="C14" s="6">
        <v>175.5</v>
      </c>
      <c r="D14" s="6"/>
      <c r="E14" s="6"/>
      <c r="F14" s="6">
        <v>48.754999999999995</v>
      </c>
    </row>
    <row r="15" spans="1:6" x14ac:dyDescent="0.25">
      <c r="B15" t="s">
        <v>6212</v>
      </c>
      <c r="C15" s="6">
        <v>84.375</v>
      </c>
      <c r="D15" s="6">
        <v>63.249999999999993</v>
      </c>
      <c r="E15" s="6">
        <v>88.754999999999995</v>
      </c>
      <c r="F15" s="6">
        <v>59.699999999999996</v>
      </c>
    </row>
    <row r="16" spans="1:6" x14ac:dyDescent="0.25">
      <c r="B16" t="s">
        <v>6213</v>
      </c>
      <c r="C16" s="6">
        <v>258.75</v>
      </c>
      <c r="D16" s="6">
        <v>8.25</v>
      </c>
      <c r="E16" s="6">
        <v>52.38000000000001</v>
      </c>
      <c r="F16" s="6"/>
    </row>
    <row r="17" spans="1:6" x14ac:dyDescent="0.25">
      <c r="A17" t="s">
        <v>6199</v>
      </c>
      <c r="B17" t="s">
        <v>6202</v>
      </c>
      <c r="C17" s="6">
        <v>47.25</v>
      </c>
      <c r="D17" s="6">
        <v>33</v>
      </c>
      <c r="E17" s="6">
        <v>50.924999999999997</v>
      </c>
      <c r="F17" s="6">
        <v>17.91</v>
      </c>
    </row>
    <row r="18" spans="1:6" x14ac:dyDescent="0.25">
      <c r="B18" t="s">
        <v>6203</v>
      </c>
      <c r="C18" s="6">
        <v>291.37499999999994</v>
      </c>
      <c r="D18" s="6">
        <v>81.125</v>
      </c>
      <c r="E18" s="6">
        <v>26.19</v>
      </c>
      <c r="F18" s="6">
        <v>17.91</v>
      </c>
    </row>
    <row r="19" spans="1:6" x14ac:dyDescent="0.25">
      <c r="B19" t="s">
        <v>6204</v>
      </c>
      <c r="C19" s="6">
        <v>54</v>
      </c>
      <c r="D19" s="6"/>
      <c r="E19" s="6">
        <v>61.110000000000007</v>
      </c>
      <c r="F19" s="6">
        <v>220.89000000000001</v>
      </c>
    </row>
    <row r="20" spans="1:6" x14ac:dyDescent="0.25">
      <c r="B20" t="s">
        <v>6205</v>
      </c>
      <c r="C20" s="6">
        <v>27</v>
      </c>
      <c r="D20" s="6">
        <v>269.5</v>
      </c>
      <c r="E20" s="6">
        <v>77.115000000000009</v>
      </c>
      <c r="F20" s="6">
        <v>144.27499999999998</v>
      </c>
    </row>
    <row r="21" spans="1:6" x14ac:dyDescent="0.25">
      <c r="B21" t="s">
        <v>6206</v>
      </c>
      <c r="C21" s="6">
        <v>118.12499999999999</v>
      </c>
      <c r="D21" s="6">
        <v>221.37499999999997</v>
      </c>
      <c r="E21" s="6">
        <v>59.655000000000001</v>
      </c>
      <c r="F21" s="6">
        <v>17.91</v>
      </c>
    </row>
    <row r="22" spans="1:6" x14ac:dyDescent="0.25">
      <c r="B22" t="s">
        <v>6207</v>
      </c>
      <c r="C22" s="6">
        <v>266.62499999999994</v>
      </c>
      <c r="D22" s="6">
        <v>145.75</v>
      </c>
      <c r="E22" s="6"/>
      <c r="F22" s="6">
        <v>22.884999999999998</v>
      </c>
    </row>
    <row r="23" spans="1:6" x14ac:dyDescent="0.25">
      <c r="B23" t="s">
        <v>6208</v>
      </c>
      <c r="C23" s="6">
        <v>51.75</v>
      </c>
      <c r="D23" s="6">
        <v>182.875</v>
      </c>
      <c r="E23" s="6">
        <v>104.76000000000002</v>
      </c>
      <c r="F23" s="6"/>
    </row>
    <row r="24" spans="1:6" x14ac:dyDescent="0.25">
      <c r="B24" t="s">
        <v>6209</v>
      </c>
      <c r="C24" s="6">
        <v>22.5</v>
      </c>
      <c r="D24" s="6">
        <v>27.5</v>
      </c>
      <c r="E24" s="6"/>
      <c r="F24" s="6">
        <v>17.91</v>
      </c>
    </row>
    <row r="25" spans="1:6" x14ac:dyDescent="0.25">
      <c r="B25" t="s">
        <v>6210</v>
      </c>
      <c r="C25" s="6">
        <v>6.75</v>
      </c>
      <c r="D25" s="6">
        <v>68.75</v>
      </c>
      <c r="E25" s="6">
        <v>17.46</v>
      </c>
      <c r="F25" s="6">
        <v>87.56</v>
      </c>
    </row>
    <row r="26" spans="1:6" x14ac:dyDescent="0.25">
      <c r="B26" t="s">
        <v>6211</v>
      </c>
      <c r="C26" s="6">
        <v>257.625</v>
      </c>
      <c r="D26" s="6">
        <v>162.25</v>
      </c>
      <c r="E26" s="6">
        <v>58.2</v>
      </c>
      <c r="F26" s="6"/>
    </row>
    <row r="27" spans="1:6" x14ac:dyDescent="0.25">
      <c r="B27" t="s">
        <v>6212</v>
      </c>
      <c r="C27" s="6">
        <v>258.74999999999994</v>
      </c>
      <c r="D27" s="6"/>
      <c r="E27" s="6">
        <v>39.285000000000004</v>
      </c>
      <c r="F27" s="6">
        <v>49.75</v>
      </c>
    </row>
    <row r="28" spans="1:6" x14ac:dyDescent="0.25">
      <c r="B28" t="s">
        <v>6213</v>
      </c>
      <c r="C28" s="6">
        <v>37.125</v>
      </c>
      <c r="D28" s="6">
        <v>72.875</v>
      </c>
      <c r="E28" s="6"/>
      <c r="F28" s="6">
        <v>63.679999999999993</v>
      </c>
    </row>
    <row r="29" spans="1:6" x14ac:dyDescent="0.25">
      <c r="A29" t="s">
        <v>6200</v>
      </c>
      <c r="B29" t="s">
        <v>6202</v>
      </c>
      <c r="C29" s="6">
        <v>217.125</v>
      </c>
      <c r="D29" s="6">
        <v>31.624999999999996</v>
      </c>
      <c r="E29" s="6">
        <v>43.650000000000006</v>
      </c>
      <c r="F29" s="6">
        <v>151.23999999999998</v>
      </c>
    </row>
    <row r="30" spans="1:6" x14ac:dyDescent="0.25">
      <c r="B30" t="s">
        <v>6203</v>
      </c>
      <c r="C30" s="6">
        <v>103.49999999999999</v>
      </c>
      <c r="D30" s="6">
        <v>41.25</v>
      </c>
      <c r="E30" s="6">
        <v>119.31</v>
      </c>
      <c r="F30" s="6"/>
    </row>
    <row r="31" spans="1:6" x14ac:dyDescent="0.25">
      <c r="B31" t="s">
        <v>6204</v>
      </c>
      <c r="C31" s="6">
        <v>13.5</v>
      </c>
      <c r="D31" s="6">
        <v>279.125</v>
      </c>
      <c r="E31" s="6">
        <v>168.78000000000003</v>
      </c>
      <c r="F31" s="6">
        <v>95.52</v>
      </c>
    </row>
    <row r="32" spans="1:6" x14ac:dyDescent="0.25">
      <c r="B32" t="s">
        <v>6205</v>
      </c>
      <c r="C32" s="6">
        <v>45</v>
      </c>
      <c r="D32" s="6">
        <v>145.75</v>
      </c>
      <c r="E32" s="6">
        <v>87.300000000000011</v>
      </c>
      <c r="F32" s="6"/>
    </row>
    <row r="33" spans="1:6" x14ac:dyDescent="0.25">
      <c r="B33" t="s">
        <v>6206</v>
      </c>
      <c r="C33" s="6">
        <v>193.5</v>
      </c>
      <c r="D33" s="6">
        <v>57.75</v>
      </c>
      <c r="E33" s="6"/>
      <c r="F33" s="6">
        <v>5.97</v>
      </c>
    </row>
    <row r="34" spans="1:6" x14ac:dyDescent="0.25">
      <c r="B34" t="s">
        <v>6207</v>
      </c>
      <c r="C34" s="6">
        <v>103.49999999999999</v>
      </c>
      <c r="D34" s="6">
        <v>81.125</v>
      </c>
      <c r="E34" s="6">
        <v>21.825000000000003</v>
      </c>
      <c r="F34" s="6">
        <v>5.97</v>
      </c>
    </row>
    <row r="35" spans="1:6" x14ac:dyDescent="0.25">
      <c r="B35" t="s">
        <v>6208</v>
      </c>
      <c r="C35" s="6">
        <v>63</v>
      </c>
      <c r="D35" s="6">
        <v>225.49999999999997</v>
      </c>
      <c r="E35" s="6">
        <v>8.73</v>
      </c>
      <c r="F35" s="6"/>
    </row>
    <row r="36" spans="1:6" x14ac:dyDescent="0.25">
      <c r="B36" t="s">
        <v>6209</v>
      </c>
      <c r="C36" s="6">
        <v>182.25</v>
      </c>
      <c r="D36" s="6">
        <v>121</v>
      </c>
      <c r="E36" s="6">
        <v>58.2</v>
      </c>
      <c r="F36" s="6">
        <v>114.42499999999998</v>
      </c>
    </row>
    <row r="37" spans="1:6" x14ac:dyDescent="0.25">
      <c r="B37" t="s">
        <v>6210</v>
      </c>
      <c r="C37" s="6">
        <v>242.99999999999997</v>
      </c>
      <c r="D37" s="6">
        <v>82.5</v>
      </c>
      <c r="E37" s="6">
        <v>74.205000000000013</v>
      </c>
      <c r="F37" s="6">
        <v>39.799999999999997</v>
      </c>
    </row>
    <row r="38" spans="1:6" x14ac:dyDescent="0.25">
      <c r="B38" t="s">
        <v>6211</v>
      </c>
      <c r="C38" s="6">
        <v>83.25</v>
      </c>
      <c r="D38" s="6">
        <v>136.125</v>
      </c>
      <c r="E38" s="6">
        <v>154.23000000000002</v>
      </c>
      <c r="F38" s="6">
        <v>130.345</v>
      </c>
    </row>
    <row r="39" spans="1:6" x14ac:dyDescent="0.25">
      <c r="B39" t="s">
        <v>6212</v>
      </c>
      <c r="C39" s="6">
        <v>78.75</v>
      </c>
      <c r="D39" s="6">
        <v>240.62499999999997</v>
      </c>
      <c r="E39" s="6">
        <v>244.44000000000003</v>
      </c>
      <c r="F39" s="6">
        <v>148.255</v>
      </c>
    </row>
    <row r="40" spans="1:6" x14ac:dyDescent="0.25">
      <c r="B40" t="s">
        <v>6213</v>
      </c>
      <c r="C40" s="6">
        <v>40.5</v>
      </c>
      <c r="D40" s="6">
        <v>20.625</v>
      </c>
      <c r="E40" s="6">
        <v>162.95999999999998</v>
      </c>
      <c r="F40" s="6"/>
    </row>
    <row r="41" spans="1:6" x14ac:dyDescent="0.25">
      <c r="A41" t="s">
        <v>6201</v>
      </c>
      <c r="B41" t="s">
        <v>6202</v>
      </c>
      <c r="C41" s="6">
        <v>85.5</v>
      </c>
      <c r="D41" s="6"/>
      <c r="E41" s="6">
        <v>344.83499999999992</v>
      </c>
      <c r="F41" s="6">
        <v>45.769999999999996</v>
      </c>
    </row>
    <row r="42" spans="1:6" x14ac:dyDescent="0.25">
      <c r="B42" t="s">
        <v>6203</v>
      </c>
      <c r="C42" s="6"/>
      <c r="D42" s="6">
        <v>53.625</v>
      </c>
      <c r="E42" s="6">
        <v>26.19</v>
      </c>
      <c r="F42" s="6">
        <v>17.91</v>
      </c>
    </row>
    <row r="43" spans="1:6" x14ac:dyDescent="0.25">
      <c r="B43" t="s">
        <v>6204</v>
      </c>
      <c r="C43" s="6">
        <v>51.75</v>
      </c>
      <c r="D43" s="6">
        <v>24.75</v>
      </c>
      <c r="E43" s="6">
        <v>181.875</v>
      </c>
      <c r="F43" s="6">
        <v>5.97</v>
      </c>
    </row>
    <row r="44" spans="1:6" x14ac:dyDescent="0.25">
      <c r="B44" t="s">
        <v>6205</v>
      </c>
      <c r="C44" s="6">
        <v>132.75</v>
      </c>
      <c r="D44" s="6">
        <v>24.75</v>
      </c>
      <c r="E44" s="6"/>
      <c r="F44" s="6">
        <v>59.699999999999996</v>
      </c>
    </row>
    <row r="45" spans="1:6" x14ac:dyDescent="0.25">
      <c r="B45" t="s">
        <v>6206</v>
      </c>
      <c r="C45" s="6">
        <v>70.875</v>
      </c>
      <c r="D45" s="6">
        <v>126.49999999999999</v>
      </c>
      <c r="E45" s="6">
        <v>162.95999999999998</v>
      </c>
      <c r="F45" s="6">
        <v>29.849999999999998</v>
      </c>
    </row>
    <row r="46" spans="1:6" x14ac:dyDescent="0.25">
      <c r="B46" t="s">
        <v>6207</v>
      </c>
      <c r="C46" s="6">
        <v>67.5</v>
      </c>
      <c r="D46" s="6">
        <v>126.49999999999999</v>
      </c>
      <c r="E46" s="6">
        <v>8.73</v>
      </c>
      <c r="F46" s="6">
        <v>211.93499999999997</v>
      </c>
    </row>
    <row r="47" spans="1:6" x14ac:dyDescent="0.25">
      <c r="B47" t="s">
        <v>6208</v>
      </c>
      <c r="C47" s="6">
        <v>72</v>
      </c>
      <c r="D47" s="6">
        <v>158.12499999999997</v>
      </c>
      <c r="E47" s="6">
        <v>13.095000000000001</v>
      </c>
      <c r="F47" s="6">
        <v>127.35999999999999</v>
      </c>
    </row>
    <row r="48" spans="1:6" x14ac:dyDescent="0.25">
      <c r="B48" t="s">
        <v>6209</v>
      </c>
      <c r="C48" s="6"/>
      <c r="D48" s="6">
        <v>41.25</v>
      </c>
      <c r="E48" s="6"/>
      <c r="F48" s="6">
        <v>14.924999999999999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16"/>
  <sheetViews>
    <sheetView topLeftCell="K1" zoomScale="115" zoomScaleNormal="115" workbookViewId="0">
      <selection activeCell="P2" sqref="P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28515625" customWidth="1"/>
    <col min="7" max="7" width="39.42578125" bestFit="1" customWidth="1"/>
    <col min="8" max="8" width="12.85546875" bestFit="1" customWidth="1"/>
    <col min="9" max="9" width="13.140625" customWidth="1"/>
    <col min="10" max="10" width="12.42578125" customWidth="1"/>
    <col min="11" max="11" width="7.5703125" bestFit="1" customWidth="1"/>
    <col min="12" max="12" width="11.28515625" customWidth="1"/>
    <col min="13" max="13" width="9.42578125" bestFit="1" customWidth="1"/>
    <col min="14" max="14" width="18.85546875" customWidth="1"/>
    <col min="15" max="15" width="18.140625" customWidth="1"/>
    <col min="16" max="16" width="14.5703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25">
      <c r="A2" s="2" t="s">
        <v>490</v>
      </c>
      <c r="B2" s="3">
        <v>43713</v>
      </c>
      <c r="C2" s="2" t="s">
        <v>491</v>
      </c>
      <c r="D2" t="s">
        <v>6138</v>
      </c>
      <c r="E2" s="2">
        <v>2</v>
      </c>
      <c r="F2" s="2" t="str">
        <f>_xlfn.XLOOKUP(C2,customers!$A$1:$A$1001,customers!$B$1:$B$1001,,0)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f>INDEX(products!$A$1:$G$49,MATCH(orders!$D2,products!$A$1:$A$49,0),MATCH(orders!K$1,products!$A$1:$G$1,0))</f>
        <v>1</v>
      </c>
      <c r="L2" s="4">
        <f>INDEX(products!$A$1:$G$49,MATCH(orders!$D2,products!$A$1:$A$49,0),MATCH(orders!L$1,products!$A$1:$G$1,0))</f>
        <v>9.9499999999999993</v>
      </c>
      <c r="M2" s="4">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f>INDEX(products!$A$1:$G$49,MATCH(orders!$D3,products!$A$1:$A$49,0),MATCH(orders!K$1,products!$A$1:$G$1,0))</f>
        <v>0.5</v>
      </c>
      <c r="L3" s="4">
        <f>INDEX(products!$A$1:$G$49,MATCH(orders!$D3,products!$A$1:$A$49,0),MATCH(orders!L$1,products!$A$1:$G$1,0))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_xlfn.XLOOKUP(Orders[[#This Row],[Customer ID]],customers!$A$1:$A$1001,customers!$I$1:$I$1001,,0)</f>
        <v>Yes</v>
      </c>
    </row>
    <row r="1002" spans="1:16" x14ac:dyDescent="0.25">
      <c r="F1002" s="2"/>
      <c r="G1002" s="2"/>
    </row>
    <row r="1003" spans="1:16" x14ac:dyDescent="0.25">
      <c r="F1003" s="2"/>
      <c r="G1003" s="2"/>
    </row>
    <row r="1004" spans="1:16" x14ac:dyDescent="0.25">
      <c r="F1004" s="2"/>
      <c r="G1004" s="2"/>
    </row>
    <row r="1005" spans="1:16" x14ac:dyDescent="0.25">
      <c r="F1005" s="2"/>
      <c r="G1005" s="2"/>
    </row>
    <row r="1006" spans="1:16" x14ac:dyDescent="0.25">
      <c r="F1006" s="2"/>
      <c r="G1006" s="2"/>
    </row>
    <row r="1007" spans="1:16" x14ac:dyDescent="0.25">
      <c r="F1007" s="2"/>
      <c r="G1007" s="2"/>
    </row>
    <row r="1008" spans="1:16" x14ac:dyDescent="0.25">
      <c r="F1008" s="2"/>
      <c r="G1008" s="2"/>
    </row>
    <row r="1009" spans="6:7" x14ac:dyDescent="0.25">
      <c r="F1009" s="2"/>
      <c r="G1009" s="2"/>
    </row>
    <row r="1010" spans="6:7" x14ac:dyDescent="0.25">
      <c r="F1010" s="2"/>
      <c r="G1010" s="2"/>
    </row>
    <row r="1011" spans="6:7" x14ac:dyDescent="0.25">
      <c r="F1011" s="2"/>
      <c r="G1011" s="2"/>
    </row>
    <row r="1012" spans="6:7" x14ac:dyDescent="0.25">
      <c r="F1012" s="2"/>
      <c r="G1012" s="2"/>
    </row>
    <row r="1013" spans="6:7" x14ac:dyDescent="0.25">
      <c r="F1013" s="2"/>
      <c r="G1013" s="2"/>
    </row>
    <row r="1014" spans="6:7" x14ac:dyDescent="0.25">
      <c r="F1014" s="2"/>
      <c r="G1014" s="2"/>
    </row>
    <row r="1015" spans="6:7" x14ac:dyDescent="0.25">
      <c r="F1015" s="2"/>
      <c r="G1015" s="2"/>
    </row>
    <row r="1016" spans="6:7" x14ac:dyDescent="0.25">
      <c r="F1016" s="2"/>
      <c r="G1016"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2"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Top5Customers</vt:lpstr>
      <vt:lpstr>Dashboard</vt:lpstr>
      <vt:lpstr>Country Bar Chart</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shatha jabin</cp:lastModifiedBy>
  <cp:revision/>
  <dcterms:created xsi:type="dcterms:W3CDTF">2022-11-26T09:51:45Z</dcterms:created>
  <dcterms:modified xsi:type="dcterms:W3CDTF">2025-10-19T15:06:54Z</dcterms:modified>
  <cp:category/>
  <cp:contentStatus/>
</cp:coreProperties>
</file>